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1_Мотивация" sheetId="2" r:id="rId1"/>
    <sheet name="2_Плановые данные для расчета" sheetId="3" r:id="rId2"/>
    <sheet name="3_Форма расчета всех МК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B18" i="3"/>
</calcChain>
</file>

<file path=xl/sharedStrings.xml><?xml version="1.0" encoding="utf-8"?>
<sst xmlns="http://schemas.openxmlformats.org/spreadsheetml/2006/main" count="137" uniqueCount="81">
  <si>
    <t>Сотрудник</t>
  </si>
  <si>
    <t>Точка оформления</t>
  </si>
  <si>
    <t>Вид ремонта</t>
  </si>
  <si>
    <t>Основание</t>
  </si>
  <si>
    <t>Общее время работ, часы</t>
  </si>
  <si>
    <t>Расчет зарплаты мастеров-консультантов за</t>
  </si>
  <si>
    <t>Отчетный месяц</t>
  </si>
  <si>
    <t>Заказ-наряд.Точка оформления. Наименование ЦФО (возможность аналитика по участкам)</t>
  </si>
  <si>
    <t>Ставка за 1 час работ</t>
  </si>
  <si>
    <t>ИТОГО</t>
  </si>
  <si>
    <t>Я1</t>
  </si>
  <si>
    <t>План по часам (проставляется в графу ИТОГО из внеснных плановых данных)</t>
  </si>
  <si>
    <t>Процент выполнения плана по часам (формула только для ИТОГО)</t>
  </si>
  <si>
    <t>Я2</t>
  </si>
  <si>
    <t>Используемые группировки (с возможностью вариаций настройки их последовательности или исключения из настроек отчета)</t>
  </si>
  <si>
    <t>Начало действия</t>
  </si>
  <si>
    <t>вносится вручную тем, кто создает Документ "Мотивация"</t>
  </si>
  <si>
    <t>Должность</t>
  </si>
  <si>
    <t>Мастер-консультант</t>
  </si>
  <si>
    <t>Точка оформлениия действия мотивации</t>
  </si>
  <si>
    <t>выбирается из справочника тем, кто создает мотивацию</t>
  </si>
  <si>
    <t>*выбирается из справочника "Должности для мотиваций"тем, кто создает Документ "Мотивация", руководитель должен проверять, чтобы у действующих мастеров-консультантов в справочнике "Сотрудники" стояла именно эта должность.</t>
  </si>
  <si>
    <t>* на данном этапе в справочник "Должноости" добавить только должность мастер-консультант, в дальнейшем можно добавлять те должности, по которым будем вносить мотивации в программу (вторые на очереди менеджер по продажам услуг)</t>
  </si>
  <si>
    <t>Выполнение плана по часам менее 90%</t>
  </si>
  <si>
    <t>Ставка за 1 час, рубли</t>
  </si>
  <si>
    <t>Выполнение плана по часам от 110% и выше</t>
  </si>
  <si>
    <t>Выполнение плана по часам  от 90% до 109,9999%</t>
  </si>
  <si>
    <t>Дата</t>
  </si>
  <si>
    <t xml:space="preserve"> = Выполнение плана по часам  от 90% до 109,9999% * Фактический процент выполнения плана по часам за отчетный период</t>
  </si>
  <si>
    <t>Пример: План на месяц стоит 1500 часов, фактически мастер-консультант закрыл 1200 часов. Его фактический процент выполнения плана по часам составил 80% (1200/1500*100), соответственнно процент, который должна выбрать программа для рачета ставки, применяемой к часам = 65*80% = 52 рубля</t>
  </si>
  <si>
    <t>Комментарии</t>
  </si>
  <si>
    <t>План по часам</t>
  </si>
  <si>
    <t>План по наценке</t>
  </si>
  <si>
    <t>Меяц.Год</t>
  </si>
  <si>
    <t>*Документ Плановые данные</t>
  </si>
  <si>
    <t>* Данный документ вносится ежемесячно по всем Точкам оформления, по которым внесены Мотивации в Matrix</t>
  </si>
  <si>
    <t>Хахин Александр Викторович</t>
  </si>
  <si>
    <t>Сеняев Алексей Валерьевич</t>
  </si>
  <si>
    <t>Храмов Игорь Владимирович</t>
  </si>
  <si>
    <t>Трошкин Юрий Николаевич</t>
  </si>
  <si>
    <t>Мишин Владимир Вячеславович</t>
  </si>
  <si>
    <t>Андриянов Денис Александрович</t>
  </si>
  <si>
    <t>Рогалева Анна Вячеславовна</t>
  </si>
  <si>
    <t>Пример (пока равными долями, далее индивидуальный план на каждого)</t>
  </si>
  <si>
    <t>KPI 1 (нормо-часы)</t>
  </si>
  <si>
    <t xml:space="preserve"> = Выполнение плана по часам  от 90% до 109,9999% * Фактический процент выполнения плана по наценке за отчетный период</t>
  </si>
  <si>
    <t>Пример: План на месяц стоит 1 435 187 рублей, фактически мастер-консультант заработал в наценке 1 150 000 рублей. Его фактический процент выполнения плана по наценке составил 80% (1150 000/1 435 187*100), соответственнно процент, который должна выбрать программа для рачета ставки, применяемой к наценке = 2%*80% = 1,6%</t>
  </si>
  <si>
    <t>% от наценки*</t>
  </si>
  <si>
    <t>KPI 2 (наценка на запчасти ), вид ремонта НЕ РАВНО Гарантийный</t>
  </si>
  <si>
    <t>* Наценка на запчасти и подрядные работы берется из заказ-нарядов, где вид ремонта НЕ содержит слово "Гарантийный" и "Внутренний"  и = Сумма запчастей +Сумма для клиента к оплате (из подрядных работ) - Себестоимость запчастей - Суммарная себестоимость работ (из закладки подрядные работы)</t>
  </si>
  <si>
    <t>Выполнение плана по наценке  от 90% до 109,9999%</t>
  </si>
  <si>
    <t>Выполнение плана по наценке от 110% и выше</t>
  </si>
  <si>
    <t>Выполнение плана по наценке менее 90%</t>
  </si>
  <si>
    <t>Документ Мотивация</t>
  </si>
  <si>
    <t>Я2 берется из документа Плановые данные для расчета на отчетный месяц</t>
  </si>
  <si>
    <t>Я3</t>
  </si>
  <si>
    <t>Я4</t>
  </si>
  <si>
    <t>Я3 = Я1 / Я 2</t>
  </si>
  <si>
    <t>Я5</t>
  </si>
  <si>
    <t>Я6</t>
  </si>
  <si>
    <t>Начисления за часы, руб. (считается по каждому заказ-наряду и суммируется по каждой группировке)</t>
  </si>
  <si>
    <t>Наценка, факт рубли (считается по каждому заказ-наряду и суммируется по каждой группировке)</t>
  </si>
  <si>
    <t>Я7</t>
  </si>
  <si>
    <t>Я8</t>
  </si>
  <si>
    <t>Начисления наценку, руб.</t>
  </si>
  <si>
    <t>ФОТ за работы и наценку ВСЕГО</t>
  </si>
  <si>
    <t>Я9</t>
  </si>
  <si>
    <t>Я7 берется из документа Плановые данные для расчета на отчетный месяц</t>
  </si>
  <si>
    <t>% выполнения плана по наценке</t>
  </si>
  <si>
    <t>Я6 суммирует наценку на запачсти и подряды, где автором добавления работы является кокретный сотрудник</t>
  </si>
  <si>
    <t>Я8 = Я6 / Я7</t>
  </si>
  <si>
    <t>Я10</t>
  </si>
  <si>
    <t>Я1 = сумма всех часов, где автором работ является конкретный сотрудник</t>
  </si>
  <si>
    <t>Я9 , формула:  Я8 сравнивается с условиями из документа Мотивация (которая действует в отчетный период) и выбирается соответствующее значение</t>
  </si>
  <si>
    <t>Я4 , формула:  Я3 сравнивается с условиями из документа Мотивация (которая действует в отчетный период) и выбирается соответствующее значение</t>
  </si>
  <si>
    <t>% за наценку, %%</t>
  </si>
  <si>
    <t>Я11</t>
  </si>
  <si>
    <t>Я10 = Я9 * Я6</t>
  </si>
  <si>
    <t>Я11 = Я10 + Я5</t>
  </si>
  <si>
    <t>Я5 = Я4 * Я1</t>
  </si>
  <si>
    <t>выбирается из справочника тем, кто вносит плановые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</si>
</sst>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77" zoomScaleNormal="77" workbookViewId="0">
      <selection activeCell="A19" sqref="A19:C19"/>
    </sheetView>
  </sheetViews>
  <sheetFormatPr defaultRowHeight="15" x14ac:dyDescent="0.25"/>
  <cols>
    <col min="1" max="1" width="69.140625" customWidth="1"/>
    <col min="2" max="2" width="54.7109375" customWidth="1"/>
    <col min="3" max="3" width="63.85546875" customWidth="1"/>
  </cols>
  <sheetData>
    <row r="1" spans="1:7" ht="19.5" x14ac:dyDescent="0.25">
      <c r="A1" s="16" t="s">
        <v>53</v>
      </c>
    </row>
    <row r="2" spans="1:7" ht="37.5" customHeight="1" x14ac:dyDescent="0.25">
      <c r="A2" s="1" t="s">
        <v>15</v>
      </c>
      <c r="B2" s="12" t="s">
        <v>27</v>
      </c>
      <c r="C2" s="10" t="s">
        <v>16</v>
      </c>
      <c r="D2" s="1"/>
      <c r="E2" s="1"/>
      <c r="F2" s="1"/>
      <c r="G2" s="1"/>
    </row>
    <row r="3" spans="1:7" ht="60" customHeight="1" x14ac:dyDescent="0.25">
      <c r="A3" s="1" t="s">
        <v>17</v>
      </c>
      <c r="B3" s="12" t="s">
        <v>18</v>
      </c>
      <c r="C3" s="10" t="s">
        <v>21</v>
      </c>
      <c r="D3" s="1"/>
      <c r="E3" s="1"/>
      <c r="F3" s="1"/>
      <c r="G3" s="1"/>
    </row>
    <row r="4" spans="1:7" ht="37.5" customHeight="1" x14ac:dyDescent="0.25">
      <c r="A4" s="1" t="s">
        <v>19</v>
      </c>
      <c r="B4" s="11"/>
      <c r="C4" s="10" t="s">
        <v>20</v>
      </c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22.5" customHeight="1" x14ac:dyDescent="0.25">
      <c r="A6" s="13" t="s">
        <v>44</v>
      </c>
      <c r="B6" s="13" t="s">
        <v>24</v>
      </c>
      <c r="C6" s="13" t="s">
        <v>30</v>
      </c>
      <c r="D6" s="1"/>
      <c r="E6" s="1"/>
      <c r="F6" s="1"/>
      <c r="G6" s="1"/>
    </row>
    <row r="7" spans="1:7" x14ac:dyDescent="0.25">
      <c r="A7" s="2" t="s">
        <v>26</v>
      </c>
      <c r="B7" s="3">
        <v>65</v>
      </c>
      <c r="C7" s="2"/>
      <c r="D7" s="1"/>
      <c r="E7" s="1"/>
      <c r="F7" s="1"/>
      <c r="G7" s="1"/>
    </row>
    <row r="8" spans="1:7" x14ac:dyDescent="0.25">
      <c r="A8" s="2" t="s">
        <v>25</v>
      </c>
      <c r="B8" s="3">
        <v>72</v>
      </c>
      <c r="C8" s="2"/>
      <c r="D8" s="1"/>
      <c r="E8" s="1"/>
      <c r="F8" s="1"/>
      <c r="G8" s="1"/>
    </row>
    <row r="9" spans="1:7" ht="75" x14ac:dyDescent="0.25">
      <c r="A9" s="2" t="s">
        <v>23</v>
      </c>
      <c r="B9" s="14" t="s">
        <v>28</v>
      </c>
      <c r="C9" s="7" t="s">
        <v>29</v>
      </c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 t="s">
        <v>22</v>
      </c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3" t="s">
        <v>48</v>
      </c>
      <c r="B13" s="13" t="s">
        <v>47</v>
      </c>
      <c r="C13" s="13" t="s">
        <v>30</v>
      </c>
    </row>
    <row r="14" spans="1:7" x14ac:dyDescent="0.25">
      <c r="A14" s="2" t="s">
        <v>50</v>
      </c>
      <c r="B14" s="22">
        <v>0.02</v>
      </c>
      <c r="C14" s="2"/>
    </row>
    <row r="15" spans="1:7" x14ac:dyDescent="0.25">
      <c r="A15" s="2" t="s">
        <v>51</v>
      </c>
      <c r="B15" s="23">
        <v>2.1999999999999999E-2</v>
      </c>
      <c r="C15" s="2"/>
    </row>
    <row r="16" spans="1:7" ht="90" x14ac:dyDescent="0.25">
      <c r="A16" s="2" t="s">
        <v>52</v>
      </c>
      <c r="B16" s="14" t="s">
        <v>45</v>
      </c>
      <c r="C16" s="7" t="s">
        <v>46</v>
      </c>
    </row>
    <row r="19" spans="1:3" ht="31.5" customHeight="1" x14ac:dyDescent="0.25">
      <c r="A19" s="24" t="s">
        <v>49</v>
      </c>
      <c r="B19" s="24"/>
      <c r="C19" s="24"/>
    </row>
  </sheetData>
  <mergeCells count="1"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zoomScale="89" zoomScaleNormal="89" workbookViewId="0">
      <selection activeCell="B4" sqref="B4"/>
    </sheetView>
  </sheetViews>
  <sheetFormatPr defaultRowHeight="15" x14ac:dyDescent="0.25"/>
  <cols>
    <col min="1" max="1" width="42.140625" style="1" customWidth="1"/>
    <col min="2" max="2" width="36" style="1" customWidth="1"/>
    <col min="3" max="3" width="41.42578125" style="1" customWidth="1"/>
    <col min="4" max="16384" width="9.140625" style="1"/>
  </cols>
  <sheetData>
    <row r="1" spans="1:3" ht="19.5" x14ac:dyDescent="0.25">
      <c r="A1" s="16" t="s">
        <v>34</v>
      </c>
      <c r="B1" s="18" t="s">
        <v>33</v>
      </c>
      <c r="C1" s="10"/>
    </row>
    <row r="3" spans="1:3" ht="90" x14ac:dyDescent="0.25">
      <c r="A3" s="17" t="s">
        <v>17</v>
      </c>
      <c r="B3" s="18" t="s">
        <v>18</v>
      </c>
      <c r="C3" s="7" t="s">
        <v>21</v>
      </c>
    </row>
    <row r="4" spans="1:3" ht="30" customHeight="1" x14ac:dyDescent="0.25">
      <c r="A4" s="17" t="s">
        <v>1</v>
      </c>
      <c r="B4" s="11"/>
      <c r="C4" s="7" t="s">
        <v>80</v>
      </c>
    </row>
    <row r="8" spans="1:3" x14ac:dyDescent="0.25">
      <c r="A8" s="15" t="s">
        <v>43</v>
      </c>
    </row>
    <row r="10" spans="1:3" x14ac:dyDescent="0.25">
      <c r="A10" s="3" t="s">
        <v>0</v>
      </c>
      <c r="B10" s="3" t="s">
        <v>31</v>
      </c>
      <c r="C10" s="3" t="s">
        <v>32</v>
      </c>
    </row>
    <row r="11" spans="1:3" x14ac:dyDescent="0.25">
      <c r="A11" s="7" t="s">
        <v>36</v>
      </c>
      <c r="B11" s="19">
        <v>1256.4285714285713</v>
      </c>
      <c r="C11" s="19">
        <f>10046309/7</f>
        <v>1435187</v>
      </c>
    </row>
    <row r="12" spans="1:3" x14ac:dyDescent="0.25">
      <c r="A12" s="7" t="s">
        <v>37</v>
      </c>
      <c r="B12" s="19">
        <v>1256.4285714285713</v>
      </c>
      <c r="C12" s="19">
        <f t="shared" ref="C12:C17" si="0">10046309/7</f>
        <v>1435187</v>
      </c>
    </row>
    <row r="13" spans="1:3" x14ac:dyDescent="0.25">
      <c r="A13" s="7" t="s">
        <v>38</v>
      </c>
      <c r="B13" s="19">
        <v>1256.4285714285713</v>
      </c>
      <c r="C13" s="19">
        <f t="shared" si="0"/>
        <v>1435187</v>
      </c>
    </row>
    <row r="14" spans="1:3" x14ac:dyDescent="0.25">
      <c r="A14" s="7" t="s">
        <v>39</v>
      </c>
      <c r="B14" s="19">
        <v>1256.4285714285713</v>
      </c>
      <c r="C14" s="19">
        <f t="shared" si="0"/>
        <v>1435187</v>
      </c>
    </row>
    <row r="15" spans="1:3" x14ac:dyDescent="0.25">
      <c r="A15" s="7" t="s">
        <v>40</v>
      </c>
      <c r="B15" s="19">
        <v>1256.4285714285713</v>
      </c>
      <c r="C15" s="19">
        <f t="shared" si="0"/>
        <v>1435187</v>
      </c>
    </row>
    <row r="16" spans="1:3" x14ac:dyDescent="0.25">
      <c r="A16" s="7" t="s">
        <v>41</v>
      </c>
      <c r="B16" s="19">
        <v>1256.4285714285713</v>
      </c>
      <c r="C16" s="19">
        <f t="shared" si="0"/>
        <v>1435187</v>
      </c>
    </row>
    <row r="17" spans="1:3" x14ac:dyDescent="0.25">
      <c r="A17" s="7" t="s">
        <v>42</v>
      </c>
      <c r="B17" s="19">
        <v>1256.4285714285713</v>
      </c>
      <c r="C17" s="19">
        <f t="shared" si="0"/>
        <v>1435187</v>
      </c>
    </row>
    <row r="18" spans="1:3" x14ac:dyDescent="0.25">
      <c r="A18" s="20" t="s">
        <v>9</v>
      </c>
      <c r="B18" s="21">
        <f>SUM(B11:B17)</f>
        <v>8795</v>
      </c>
      <c r="C18" s="21">
        <f>SUM(C11:C17)</f>
        <v>10046309</v>
      </c>
    </row>
    <row r="20" spans="1:3" x14ac:dyDescent="0.25">
      <c r="A20" s="1" t="s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91" zoomScaleNormal="91" workbookViewId="0">
      <selection activeCell="A3" sqref="A3"/>
    </sheetView>
  </sheetViews>
  <sheetFormatPr defaultRowHeight="15" x14ac:dyDescent="0.25"/>
  <cols>
    <col min="1" max="1" width="61.7109375" style="1" customWidth="1"/>
    <col min="2" max="12" width="15.7109375" style="1" customWidth="1"/>
    <col min="13" max="16384" width="9.140625" style="1"/>
  </cols>
  <sheetData>
    <row r="1" spans="1:12" ht="30" x14ac:dyDescent="0.25">
      <c r="A1" s="5" t="s">
        <v>5</v>
      </c>
      <c r="B1" s="25" t="s">
        <v>6</v>
      </c>
      <c r="C1" s="6"/>
      <c r="D1" s="6"/>
    </row>
    <row r="3" spans="1:12" ht="120" x14ac:dyDescent="0.25">
      <c r="A3" s="9" t="s">
        <v>14</v>
      </c>
      <c r="B3" s="8" t="s">
        <v>4</v>
      </c>
      <c r="C3" s="8" t="s">
        <v>11</v>
      </c>
      <c r="D3" s="8" t="s">
        <v>12</v>
      </c>
      <c r="E3" s="8" t="s">
        <v>8</v>
      </c>
      <c r="F3" s="8" t="s">
        <v>60</v>
      </c>
      <c r="G3" s="8" t="s">
        <v>61</v>
      </c>
      <c r="H3" s="8" t="s">
        <v>32</v>
      </c>
      <c r="I3" s="8" t="s">
        <v>68</v>
      </c>
      <c r="J3" s="8" t="s">
        <v>75</v>
      </c>
      <c r="K3" s="8" t="s">
        <v>64</v>
      </c>
      <c r="L3" s="8" t="s">
        <v>65</v>
      </c>
    </row>
    <row r="4" spans="1:12" x14ac:dyDescent="0.25">
      <c r="A4" s="4" t="s">
        <v>0</v>
      </c>
      <c r="B4" s="2"/>
      <c r="C4" s="2"/>
      <c r="D4" s="2"/>
      <c r="E4" s="2" t="s">
        <v>56</v>
      </c>
      <c r="F4" s="2" t="s">
        <v>58</v>
      </c>
      <c r="G4" s="2" t="s">
        <v>59</v>
      </c>
      <c r="H4" s="2"/>
      <c r="I4" s="2"/>
      <c r="J4" s="2" t="s">
        <v>66</v>
      </c>
      <c r="K4" s="2" t="s">
        <v>71</v>
      </c>
      <c r="L4" s="2" t="s">
        <v>76</v>
      </c>
    </row>
    <row r="5" spans="1:12" x14ac:dyDescent="0.25">
      <c r="A5" s="2" t="s">
        <v>1</v>
      </c>
      <c r="B5" s="2"/>
      <c r="C5" s="2"/>
      <c r="D5" s="2"/>
      <c r="E5" s="2" t="s">
        <v>56</v>
      </c>
      <c r="F5" s="2" t="s">
        <v>58</v>
      </c>
      <c r="G5" s="2" t="s">
        <v>59</v>
      </c>
      <c r="H5" s="2"/>
      <c r="I5" s="2"/>
      <c r="J5" s="2" t="s">
        <v>66</v>
      </c>
      <c r="K5" s="2" t="s">
        <v>71</v>
      </c>
      <c r="L5" s="2" t="s">
        <v>76</v>
      </c>
    </row>
    <row r="6" spans="1:12" ht="30" x14ac:dyDescent="0.25">
      <c r="A6" s="7" t="s">
        <v>7</v>
      </c>
      <c r="B6" s="2"/>
      <c r="C6" s="2"/>
      <c r="D6" s="2"/>
      <c r="E6" s="2" t="s">
        <v>56</v>
      </c>
      <c r="F6" s="2" t="s">
        <v>58</v>
      </c>
      <c r="G6" s="2" t="s">
        <v>59</v>
      </c>
      <c r="H6" s="2"/>
      <c r="I6" s="2"/>
      <c r="J6" s="2" t="s">
        <v>66</v>
      </c>
      <c r="K6" s="2" t="s">
        <v>71</v>
      </c>
      <c r="L6" s="2" t="s">
        <v>76</v>
      </c>
    </row>
    <row r="7" spans="1:12" x14ac:dyDescent="0.25">
      <c r="A7" s="2" t="s">
        <v>2</v>
      </c>
      <c r="B7" s="2"/>
      <c r="C7" s="2"/>
      <c r="D7" s="2"/>
      <c r="E7" s="2" t="s">
        <v>56</v>
      </c>
      <c r="F7" s="2" t="s">
        <v>58</v>
      </c>
      <c r="G7" s="2" t="s">
        <v>59</v>
      </c>
      <c r="H7" s="2"/>
      <c r="I7" s="2"/>
      <c r="J7" s="2" t="s">
        <v>66</v>
      </c>
      <c r="K7" s="2" t="s">
        <v>71</v>
      </c>
      <c r="L7" s="2" t="s">
        <v>76</v>
      </c>
    </row>
    <row r="8" spans="1:12" x14ac:dyDescent="0.25">
      <c r="A8" s="2" t="s">
        <v>3</v>
      </c>
      <c r="B8" s="2"/>
      <c r="C8" s="2"/>
      <c r="D8" s="2"/>
      <c r="E8" s="2" t="s">
        <v>56</v>
      </c>
      <c r="F8" s="2" t="s">
        <v>58</v>
      </c>
      <c r="G8" s="2" t="s">
        <v>59</v>
      </c>
      <c r="H8" s="2"/>
      <c r="I8" s="2"/>
      <c r="J8" s="2" t="s">
        <v>66</v>
      </c>
      <c r="K8" s="2" t="s">
        <v>71</v>
      </c>
      <c r="L8" s="2" t="s">
        <v>76</v>
      </c>
    </row>
    <row r="9" spans="1:12" x14ac:dyDescent="0.25">
      <c r="A9" s="2"/>
      <c r="B9" s="2"/>
      <c r="C9" s="2"/>
      <c r="D9" s="2"/>
      <c r="E9" s="2" t="s">
        <v>56</v>
      </c>
      <c r="F9" s="2" t="s">
        <v>58</v>
      </c>
      <c r="G9" s="2" t="s">
        <v>59</v>
      </c>
      <c r="H9" s="2"/>
      <c r="I9" s="2"/>
      <c r="J9" s="2" t="s">
        <v>66</v>
      </c>
      <c r="K9" s="2" t="s">
        <v>71</v>
      </c>
      <c r="L9" s="2" t="s">
        <v>76</v>
      </c>
    </row>
    <row r="10" spans="1:12" x14ac:dyDescent="0.25">
      <c r="A10" s="2"/>
      <c r="B10" s="2"/>
      <c r="C10" s="2"/>
      <c r="D10" s="2"/>
      <c r="E10" s="2" t="s">
        <v>56</v>
      </c>
      <c r="F10" s="2" t="s">
        <v>58</v>
      </c>
      <c r="G10" s="2" t="s">
        <v>59</v>
      </c>
      <c r="H10" s="2"/>
      <c r="I10" s="2"/>
      <c r="J10" s="2" t="s">
        <v>66</v>
      </c>
      <c r="K10" s="2" t="s">
        <v>71</v>
      </c>
      <c r="L10" s="2" t="s">
        <v>76</v>
      </c>
    </row>
    <row r="11" spans="1:12" x14ac:dyDescent="0.25">
      <c r="A11" s="2"/>
      <c r="B11" s="2"/>
      <c r="C11" s="2"/>
      <c r="D11" s="2"/>
      <c r="E11" s="2" t="s">
        <v>56</v>
      </c>
      <c r="F11" s="2" t="s">
        <v>58</v>
      </c>
      <c r="G11" s="2" t="s">
        <v>59</v>
      </c>
      <c r="H11" s="2"/>
      <c r="I11" s="2"/>
      <c r="J11" s="2" t="s">
        <v>66</v>
      </c>
      <c r="K11" s="2" t="s">
        <v>71</v>
      </c>
      <c r="L11" s="2" t="s">
        <v>76</v>
      </c>
    </row>
    <row r="12" spans="1:12" x14ac:dyDescent="0.25">
      <c r="A12" s="2" t="s">
        <v>9</v>
      </c>
      <c r="B12" s="2" t="s">
        <v>10</v>
      </c>
      <c r="C12" s="2" t="s">
        <v>13</v>
      </c>
      <c r="D12" s="2" t="s">
        <v>55</v>
      </c>
      <c r="E12" s="2" t="s">
        <v>56</v>
      </c>
      <c r="F12" s="2" t="s">
        <v>58</v>
      </c>
      <c r="G12" s="2" t="s">
        <v>59</v>
      </c>
      <c r="H12" s="2" t="s">
        <v>62</v>
      </c>
      <c r="I12" s="2" t="s">
        <v>63</v>
      </c>
      <c r="J12" s="2" t="s">
        <v>66</v>
      </c>
      <c r="K12" s="2" t="s">
        <v>71</v>
      </c>
      <c r="L12" s="2" t="s">
        <v>76</v>
      </c>
    </row>
    <row r="14" spans="1:12" x14ac:dyDescent="0.25">
      <c r="A14" s="1" t="s">
        <v>72</v>
      </c>
    </row>
    <row r="15" spans="1:12" x14ac:dyDescent="0.25">
      <c r="A15" s="1" t="s">
        <v>54</v>
      </c>
    </row>
    <row r="16" spans="1:12" x14ac:dyDescent="0.25">
      <c r="A16" s="1" t="s">
        <v>57</v>
      </c>
    </row>
    <row r="17" spans="1:1" x14ac:dyDescent="0.25">
      <c r="A17" s="1" t="s">
        <v>74</v>
      </c>
    </row>
    <row r="18" spans="1:1" x14ac:dyDescent="0.25">
      <c r="A18" s="1" t="s">
        <v>79</v>
      </c>
    </row>
    <row r="19" spans="1:1" x14ac:dyDescent="0.25">
      <c r="A19" s="1" t="s">
        <v>69</v>
      </c>
    </row>
    <row r="20" spans="1:1" x14ac:dyDescent="0.25">
      <c r="A20" s="1" t="s">
        <v>67</v>
      </c>
    </row>
    <row r="21" spans="1:1" x14ac:dyDescent="0.25">
      <c r="A21" s="1" t="s">
        <v>70</v>
      </c>
    </row>
    <row r="22" spans="1:1" x14ac:dyDescent="0.25">
      <c r="A22" s="1" t="s">
        <v>73</v>
      </c>
    </row>
    <row r="23" spans="1:1" x14ac:dyDescent="0.25">
      <c r="A23" s="1" t="s">
        <v>77</v>
      </c>
    </row>
    <row r="24" spans="1:1" x14ac:dyDescent="0.25">
      <c r="A24" s="1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1_Мотивация</vt:lpstr>
      <vt:lpstr>2_Плановые данные для расчета</vt:lpstr>
      <vt:lpstr>3_Форма расчета всех МК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2026-07-30T09:07:56Z</dcterms:modified>
</cp:coreProperties>
</file>